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rberger.sharepoint.com/sites/SAICbranding/Shared Documents/Project/08_Personal folder/Joe/"/>
    </mc:Choice>
  </mc:AlternateContent>
  <xr:revisionPtr revIDLastSave="243" documentId="11_F25DC773A252ABDACC10485FB91A46CA5BDE58EA" xr6:coauthVersionLast="47" xr6:coauthVersionMax="47" xr10:uidLastSave="{94822EA4-2616-4B15-AA59-092772A7AC49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1" l="1"/>
  <c r="G67" i="1"/>
  <c r="H67" i="1"/>
  <c r="I67" i="1"/>
  <c r="J67" i="1"/>
  <c r="J44" i="1" s="1"/>
  <c r="G65" i="1"/>
  <c r="H65" i="1"/>
  <c r="I65" i="1"/>
  <c r="F65" i="1"/>
  <c r="G60" i="1"/>
  <c r="H60" i="1"/>
  <c r="I60" i="1"/>
  <c r="F60" i="1"/>
  <c r="F59" i="1"/>
  <c r="J42" i="1"/>
  <c r="G44" i="1"/>
  <c r="H44" i="1"/>
  <c r="I44" i="1"/>
  <c r="J61" i="1"/>
  <c r="I61" i="1"/>
  <c r="H61" i="1"/>
  <c r="G61" i="1"/>
  <c r="F61" i="1"/>
  <c r="J58" i="1"/>
  <c r="G53" i="1"/>
  <c r="G52" i="1" s="1"/>
  <c r="G42" i="1" s="1"/>
  <c r="J52" i="1"/>
  <c r="F52" i="1"/>
  <c r="F42" i="1" s="1"/>
  <c r="F44" i="1"/>
  <c r="G26" i="1"/>
  <c r="H26" i="1" s="1"/>
  <c r="G20" i="1"/>
  <c r="G19" i="1" s="1"/>
  <c r="G9" i="1" s="1"/>
  <c r="F34" i="1"/>
  <c r="F11" i="1" s="1"/>
  <c r="G34" i="1"/>
  <c r="H34" i="1"/>
  <c r="H11" i="1" s="1"/>
  <c r="I34" i="1"/>
  <c r="F28" i="1"/>
  <c r="G28" i="1"/>
  <c r="H28" i="1"/>
  <c r="I28" i="1"/>
  <c r="F25" i="1"/>
  <c r="F24" i="1" s="1"/>
  <c r="F10" i="1" s="1"/>
  <c r="G11" i="1"/>
  <c r="I11" i="1"/>
  <c r="J34" i="1"/>
  <c r="J11" i="1" s="1"/>
  <c r="J28" i="1"/>
  <c r="J25" i="1"/>
  <c r="F19" i="1"/>
  <c r="F9" i="1" s="1"/>
  <c r="J19" i="1"/>
  <c r="J9" i="1" s="1"/>
  <c r="F50" i="1" l="1"/>
  <c r="F49" i="1"/>
  <c r="F58" i="1"/>
  <c r="H20" i="1"/>
  <c r="J57" i="1"/>
  <c r="G59" i="1"/>
  <c r="G58" i="1" s="1"/>
  <c r="G57" i="1" s="1"/>
  <c r="G43" i="1" s="1"/>
  <c r="G46" i="1" s="1"/>
  <c r="F57" i="1"/>
  <c r="F43" i="1" s="1"/>
  <c r="H53" i="1"/>
  <c r="I26" i="1"/>
  <c r="I25" i="1" s="1"/>
  <c r="I24" i="1" s="1"/>
  <c r="I10" i="1" s="1"/>
  <c r="H25" i="1"/>
  <c r="H24" i="1" s="1"/>
  <c r="H10" i="1" s="1"/>
  <c r="G25" i="1"/>
  <c r="G24" i="1" s="1"/>
  <c r="G10" i="1" s="1"/>
  <c r="F17" i="1"/>
  <c r="F15" i="1"/>
  <c r="F13" i="1"/>
  <c r="F16" i="1"/>
  <c r="J24" i="1"/>
  <c r="J10" i="1" s="1"/>
  <c r="J17" i="1" s="1"/>
  <c r="J15" i="1" l="1"/>
  <c r="G16" i="1"/>
  <c r="G48" i="1"/>
  <c r="H59" i="1"/>
  <c r="I59" i="1" s="1"/>
  <c r="I58" i="1" s="1"/>
  <c r="I57" i="1" s="1"/>
  <c r="J13" i="1"/>
  <c r="J49" i="1"/>
  <c r="G49" i="1"/>
  <c r="J16" i="1"/>
  <c r="J43" i="1"/>
  <c r="J46" i="1" s="1"/>
  <c r="J50" i="1"/>
  <c r="G50" i="1"/>
  <c r="G13" i="1"/>
  <c r="G15" i="1"/>
  <c r="H19" i="1"/>
  <c r="H9" i="1" s="1"/>
  <c r="H13" i="1" s="1"/>
  <c r="I20" i="1"/>
  <c r="I19" i="1" s="1"/>
  <c r="I9" i="1" s="1"/>
  <c r="I50" i="1" s="1"/>
  <c r="J48" i="1"/>
  <c r="F46" i="1"/>
  <c r="F48" i="1"/>
  <c r="H52" i="1"/>
  <c r="H42" i="1" s="1"/>
  <c r="I53" i="1"/>
  <c r="I52" i="1" s="1"/>
  <c r="I42" i="1" s="1"/>
  <c r="G17" i="1"/>
  <c r="H16" i="1" l="1"/>
  <c r="H58" i="1"/>
  <c r="H57" i="1" s="1"/>
  <c r="H43" i="1" s="1"/>
  <c r="H46" i="1" s="1"/>
  <c r="H49" i="1"/>
  <c r="I49" i="1"/>
  <c r="I48" i="1"/>
  <c r="I17" i="1"/>
  <c r="H15" i="1"/>
  <c r="I13" i="1"/>
  <c r="H48" i="1"/>
  <c r="I16" i="1"/>
  <c r="H50" i="1"/>
  <c r="I15" i="1"/>
  <c r="H17" i="1"/>
  <c r="I43" i="1"/>
  <c r="I46" i="1" s="1"/>
</calcChain>
</file>

<file path=xl/sharedStrings.xml><?xml version="1.0" encoding="utf-8"?>
<sst xmlns="http://schemas.openxmlformats.org/spreadsheetml/2006/main" count="127" uniqueCount="50">
  <si>
    <t>单店盈利性比较</t>
  </si>
  <si>
    <t>品牌1：xx</t>
  </si>
  <si>
    <t>初始投资金额</t>
  </si>
  <si>
    <t>单位</t>
  </si>
  <si>
    <t>万元/辆</t>
  </si>
  <si>
    <t>万元/月</t>
  </si>
  <si>
    <t>万元</t>
  </si>
  <si>
    <r>
      <t>超一线城市（</t>
    </r>
    <r>
      <rPr>
        <b/>
        <sz val="11"/>
        <color rgb="FFFF0000"/>
        <rFont val="Calibri"/>
        <family val="2"/>
        <scheme val="minor"/>
      </rPr>
      <t>xx</t>
    </r>
    <r>
      <rPr>
        <b/>
        <sz val="11"/>
        <color theme="1"/>
        <rFont val="Calibri"/>
        <family val="2"/>
        <scheme val="minor"/>
      </rPr>
      <t>）</t>
    </r>
  </si>
  <si>
    <r>
      <t>一线城市（</t>
    </r>
    <r>
      <rPr>
        <b/>
        <sz val="11"/>
        <color rgb="FFFF0000"/>
        <rFont val="Calibri"/>
        <family val="2"/>
        <scheme val="minor"/>
      </rPr>
      <t>xx</t>
    </r>
    <r>
      <rPr>
        <b/>
        <sz val="11"/>
        <color theme="1"/>
        <rFont val="Calibri"/>
        <family val="2"/>
        <scheme val="minor"/>
      </rPr>
      <t>）</t>
    </r>
  </si>
  <si>
    <r>
      <t>二线城市（</t>
    </r>
    <r>
      <rPr>
        <b/>
        <sz val="11"/>
        <color rgb="FFFF0000"/>
        <rFont val="Calibri"/>
        <family val="2"/>
        <scheme val="minor"/>
      </rPr>
      <t>xx</t>
    </r>
    <r>
      <rPr>
        <b/>
        <sz val="11"/>
        <color theme="1"/>
        <rFont val="Calibri"/>
        <family val="2"/>
        <scheme val="minor"/>
      </rPr>
      <t>）</t>
    </r>
  </si>
  <si>
    <r>
      <t>三线城市（</t>
    </r>
    <r>
      <rPr>
        <b/>
        <sz val="11"/>
        <color rgb="FFFF0000"/>
        <rFont val="Calibri"/>
        <family val="2"/>
        <scheme val="minor"/>
      </rPr>
      <t>xx</t>
    </r>
    <r>
      <rPr>
        <b/>
        <sz val="11"/>
        <color theme="1"/>
        <rFont val="Calibri"/>
        <family val="2"/>
        <scheme val="minor"/>
      </rPr>
      <t>）</t>
    </r>
  </si>
  <si>
    <t>单车单价</t>
  </si>
  <si>
    <t>填写示例</t>
  </si>
  <si>
    <t>品牌毛利</t>
  </si>
  <si>
    <t>%</t>
  </si>
  <si>
    <t>直营模式——商超门店</t>
  </si>
  <si>
    <t>其他收入</t>
  </si>
  <si>
    <t>注释：</t>
  </si>
  <si>
    <t>运营成本</t>
  </si>
  <si>
    <t>销售收入</t>
  </si>
  <si>
    <t>如金融、配件等，需注明是哪种收入（不含售后）</t>
  </si>
  <si>
    <t>门店租金</t>
  </si>
  <si>
    <t>门店面积</t>
  </si>
  <si>
    <t>单位平米租金</t>
  </si>
  <si>
    <t>平米</t>
  </si>
  <si>
    <t>元/平</t>
  </si>
  <si>
    <t>人工成本</t>
  </si>
  <si>
    <t>销售人员数量</t>
  </si>
  <si>
    <t>底薪</t>
  </si>
  <si>
    <t>去除给销售人员的提成之后的比例</t>
  </si>
  <si>
    <t>其他用人成本</t>
  </si>
  <si>
    <t>人/店</t>
  </si>
  <si>
    <t>销售提成在品牌毛利里抵扣，此处指的保险、五险一金、各种额外补贴等隐形成本</t>
  </si>
  <si>
    <t>其他运营成本</t>
  </si>
  <si>
    <t>水电等其他成本，需注明</t>
  </si>
  <si>
    <t>门店装修</t>
  </si>
  <si>
    <t>其他</t>
  </si>
  <si>
    <t>其他初始投资，需注明</t>
  </si>
  <si>
    <t>单月盈亏平衡点</t>
  </si>
  <si>
    <t>辆</t>
  </si>
  <si>
    <t>假设x年初始投资回本所需的年销量</t>
  </si>
  <si>
    <t>1年回本</t>
  </si>
  <si>
    <t>3年回本</t>
  </si>
  <si>
    <t>5年回本</t>
  </si>
  <si>
    <t>代理模式——商超门店</t>
  </si>
  <si>
    <t>品牌返佣（需剔除销售提成）</t>
  </si>
  <si>
    <t>代理商是否愿意出更高的价格雇佣员工？</t>
  </si>
  <si>
    <t>去除建店补贴后的实际支出</t>
  </si>
  <si>
    <t>品牌授权费</t>
  </si>
  <si>
    <t>如有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</si>
</sst>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 indent="1"/>
    </xf>
    <xf numFmtId="164" fontId="0" fillId="0" borderId="0" xfId="1" applyNumberFormat="1" applyFont="1"/>
    <xf numFmtId="165" fontId="0" fillId="0" borderId="0" xfId="1" applyNumberFormat="1" applyFont="1"/>
    <xf numFmtId="165" fontId="5" fillId="0" borderId="0" xfId="1" applyNumberFormat="1" applyFont="1"/>
    <xf numFmtId="9" fontId="5" fillId="0" borderId="0" xfId="2" applyFont="1"/>
    <xf numFmtId="164" fontId="0" fillId="0" borderId="0" xfId="0" applyNumberFormat="1"/>
    <xf numFmtId="164" fontId="5" fillId="0" borderId="0" xfId="1" applyNumberFormat="1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5" fontId="5" fillId="3" borderId="0" xfId="1" applyNumberFormat="1" applyFont="1" applyFill="1"/>
    <xf numFmtId="9" fontId="5" fillId="3" borderId="0" xfId="2" applyFont="1" applyFill="1"/>
    <xf numFmtId="164" fontId="5" fillId="3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70"/>
  <sheetViews>
    <sheetView showGridLines="0" tabSelected="1" workbookViewId="0"/>
  </sheetViews>
  <sheetFormatPr defaultRowHeight="15" x14ac:dyDescent="0.25"/>
  <cols>
    <col min="1" max="3" width="3.140625" customWidth="1"/>
    <col min="4" max="4" width="18.42578125" customWidth="1"/>
    <col min="6" max="9" width="20" customWidth="1"/>
    <col min="10" max="10" width="10" customWidth="1"/>
  </cols>
  <sheetData>
    <row r="3" spans="2:11" x14ac:dyDescent="0.25">
      <c r="B3" s="1"/>
      <c r="C3" s="2" t="s">
        <v>0</v>
      </c>
    </row>
    <row r="5" spans="2:11" x14ac:dyDescent="0.25">
      <c r="C5" t="s">
        <v>1</v>
      </c>
    </row>
    <row r="7" spans="2:11" x14ac:dyDescent="0.25">
      <c r="C7" s="2" t="s">
        <v>15</v>
      </c>
    </row>
    <row r="8" spans="2:11" x14ac:dyDescent="0.25">
      <c r="E8" s="2" t="s">
        <v>3</v>
      </c>
      <c r="F8" s="2" t="s">
        <v>7</v>
      </c>
      <c r="G8" s="2" t="s">
        <v>8</v>
      </c>
      <c r="H8" s="2" t="s">
        <v>9</v>
      </c>
      <c r="I8" s="2" t="s">
        <v>10</v>
      </c>
      <c r="J8" s="3" t="s">
        <v>12</v>
      </c>
      <c r="K8" s="2" t="s">
        <v>17</v>
      </c>
    </row>
    <row r="9" spans="2:11" x14ac:dyDescent="0.25">
      <c r="C9" s="2" t="s">
        <v>19</v>
      </c>
      <c r="E9" t="s">
        <v>4</v>
      </c>
      <c r="F9" s="5">
        <f t="shared" ref="F9:I9" si="0">F19</f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>J19</f>
        <v>4.5</v>
      </c>
    </row>
    <row r="10" spans="2:11" x14ac:dyDescent="0.25">
      <c r="C10" s="2" t="s">
        <v>18</v>
      </c>
      <c r="E10" t="s">
        <v>5</v>
      </c>
      <c r="F10" s="9">
        <f t="shared" ref="F10:I10" si="1">F24</f>
        <v>0</v>
      </c>
      <c r="G10" s="9">
        <f t="shared" si="1"/>
        <v>0</v>
      </c>
      <c r="H10" s="9">
        <f t="shared" si="1"/>
        <v>0</v>
      </c>
      <c r="I10" s="9">
        <f t="shared" si="1"/>
        <v>0</v>
      </c>
      <c r="J10" s="9">
        <f>J24</f>
        <v>21.5</v>
      </c>
    </row>
    <row r="11" spans="2:11" x14ac:dyDescent="0.25">
      <c r="C11" s="2" t="s">
        <v>2</v>
      </c>
      <c r="E11" t="s">
        <v>6</v>
      </c>
      <c r="F11" s="9">
        <f t="shared" ref="F11:I11" si="2">F34</f>
        <v>0</v>
      </c>
      <c r="G11" s="9">
        <f t="shared" si="2"/>
        <v>0</v>
      </c>
      <c r="H11" s="9">
        <f t="shared" si="2"/>
        <v>0</v>
      </c>
      <c r="I11" s="9">
        <f t="shared" si="2"/>
        <v>0</v>
      </c>
      <c r="J11" s="9">
        <f>J34</f>
        <v>102</v>
      </c>
    </row>
    <row r="13" spans="2:11" x14ac:dyDescent="0.25">
      <c r="C13" s="2" t="s">
        <v>38</v>
      </c>
      <c r="E13" t="s">
        <v>39</v>
      </c>
      <c r="F13" s="6" t="e">
        <f t="shared" ref="F13:I13" si="3">ROUNDUP(F10/F9,0)</f>
        <v>#DIV/0!</v>
      </c>
      <c r="G13" s="6" t="e">
        <f t="shared" si="3"/>
        <v>#DIV/0!</v>
      </c>
      <c r="H13" s="6" t="e">
        <f t="shared" si="3"/>
        <v>#DIV/0!</v>
      </c>
      <c r="I13" s="6" t="e">
        <f t="shared" si="3"/>
        <v>#DIV/0!</v>
      </c>
      <c r="J13" s="6">
        <f>ROUNDUP(J10/J9,0)</f>
        <v>5</v>
      </c>
    </row>
    <row r="14" spans="2:11" x14ac:dyDescent="0.25">
      <c r="C14" s="2" t="s">
        <v>40</v>
      </c>
    </row>
    <row r="15" spans="2:11" x14ac:dyDescent="0.25">
      <c r="D15" t="s">
        <v>41</v>
      </c>
      <c r="E15" t="s">
        <v>39</v>
      </c>
      <c r="F15" s="5" t="e">
        <f>(F$11/LEFT($D15,LEN($D15)-3)/12+F$10)/F$9</f>
        <v>#DIV/0!</v>
      </c>
      <c r="G15" s="5" t="e">
        <f t="shared" ref="F15:I17" si="4">(G$11/LEFT($D15,LEN($D15)-3)/12+G$10)/G$9</f>
        <v>#DIV/0!</v>
      </c>
      <c r="H15" s="5" t="e">
        <f t="shared" si="4"/>
        <v>#DIV/0!</v>
      </c>
      <c r="I15" s="5" t="e">
        <f t="shared" si="4"/>
        <v>#DIV/0!</v>
      </c>
      <c r="J15" s="5">
        <f>(J$11/LEFT($D15,LEN($D15)-3)/12+J$10)/J$9</f>
        <v>6.666666666666667</v>
      </c>
    </row>
    <row r="16" spans="2:11" x14ac:dyDescent="0.25">
      <c r="D16" t="s">
        <v>42</v>
      </c>
      <c r="E16" t="s">
        <v>39</v>
      </c>
      <c r="F16" s="5" t="e">
        <f t="shared" si="4"/>
        <v>#DIV/0!</v>
      </c>
      <c r="G16" s="5" t="e">
        <f t="shared" si="4"/>
        <v>#DIV/0!</v>
      </c>
      <c r="H16" s="5" t="e">
        <f t="shared" si="4"/>
        <v>#DIV/0!</v>
      </c>
      <c r="I16" s="5" t="e">
        <f t="shared" si="4"/>
        <v>#DIV/0!</v>
      </c>
      <c r="J16" s="5">
        <f t="shared" ref="J16:J17" si="5">(J$11/LEFT($D16,LEN($D16)-3)/12+J$10)/J$9</f>
        <v>5.4074074074074074</v>
      </c>
    </row>
    <row r="17" spans="3:11" x14ac:dyDescent="0.25">
      <c r="D17" t="s">
        <v>43</v>
      </c>
      <c r="E17" t="s">
        <v>39</v>
      </c>
      <c r="F17" s="5" t="e">
        <f t="shared" si="4"/>
        <v>#DIV/0!</v>
      </c>
      <c r="G17" s="5" t="e">
        <f t="shared" si="4"/>
        <v>#DIV/0!</v>
      </c>
      <c r="H17" s="5" t="e">
        <f t="shared" si="4"/>
        <v>#DIV/0!</v>
      </c>
      <c r="I17" s="5" t="e">
        <f t="shared" si="4"/>
        <v>#DIV/0!</v>
      </c>
      <c r="J17" s="5">
        <f t="shared" si="5"/>
        <v>5.155555555555555</v>
      </c>
    </row>
    <row r="19" spans="3:11" x14ac:dyDescent="0.25">
      <c r="C19" s="2" t="s">
        <v>19</v>
      </c>
      <c r="E19" t="s">
        <v>4</v>
      </c>
      <c r="F19" s="5">
        <f t="shared" ref="F19:I19" si="6">F20*F21+F22</f>
        <v>0</v>
      </c>
      <c r="G19" s="5">
        <f t="shared" si="6"/>
        <v>0</v>
      </c>
      <c r="H19" s="5">
        <f t="shared" si="6"/>
        <v>0</v>
      </c>
      <c r="I19" s="5">
        <f t="shared" si="6"/>
        <v>0</v>
      </c>
      <c r="J19" s="5">
        <f>J20*J21+J22</f>
        <v>4.5</v>
      </c>
    </row>
    <row r="20" spans="3:11" x14ac:dyDescent="0.25">
      <c r="D20" s="11" t="s">
        <v>11</v>
      </c>
      <c r="E20" t="s">
        <v>4</v>
      </c>
      <c r="F20" s="13"/>
      <c r="G20" s="16">
        <f>F20</f>
        <v>0</v>
      </c>
      <c r="H20" s="16">
        <f t="shared" ref="H20:I20" si="7">G20</f>
        <v>0</v>
      </c>
      <c r="I20" s="16">
        <f t="shared" si="7"/>
        <v>0</v>
      </c>
      <c r="J20" s="7">
        <v>30</v>
      </c>
    </row>
    <row r="21" spans="3:11" x14ac:dyDescent="0.25">
      <c r="D21" s="11" t="s">
        <v>13</v>
      </c>
      <c r="E21" t="s">
        <v>14</v>
      </c>
      <c r="F21" s="14"/>
      <c r="G21" s="14"/>
      <c r="H21" s="14"/>
      <c r="I21" s="14"/>
      <c r="J21" s="8">
        <v>0.12</v>
      </c>
      <c r="K21" t="s">
        <v>29</v>
      </c>
    </row>
    <row r="22" spans="3:11" x14ac:dyDescent="0.25">
      <c r="D22" s="11" t="s">
        <v>16</v>
      </c>
      <c r="E22" t="s">
        <v>4</v>
      </c>
      <c r="F22" s="13"/>
      <c r="G22" s="13"/>
      <c r="H22" s="13"/>
      <c r="I22" s="13"/>
      <c r="J22" s="7">
        <v>0.9</v>
      </c>
      <c r="K22" t="s">
        <v>20</v>
      </c>
    </row>
    <row r="24" spans="3:11" x14ac:dyDescent="0.25">
      <c r="C24" s="2" t="s">
        <v>18</v>
      </c>
      <c r="E24" t="s">
        <v>5</v>
      </c>
      <c r="F24" s="9">
        <f t="shared" ref="F24:I24" si="8">F25+F28+F32</f>
        <v>0</v>
      </c>
      <c r="G24" s="9">
        <f t="shared" si="8"/>
        <v>0</v>
      </c>
      <c r="H24" s="9">
        <f t="shared" si="8"/>
        <v>0</v>
      </c>
      <c r="I24" s="9">
        <f t="shared" si="8"/>
        <v>0</v>
      </c>
      <c r="J24" s="9">
        <f>J25+J28+J32</f>
        <v>21.5</v>
      </c>
    </row>
    <row r="25" spans="3:11" x14ac:dyDescent="0.25">
      <c r="D25" s="12" t="s">
        <v>21</v>
      </c>
      <c r="E25" t="s">
        <v>5</v>
      </c>
      <c r="F25" s="5">
        <f t="shared" ref="F25:I25" si="9">F26*F27/10000</f>
        <v>0</v>
      </c>
      <c r="G25" s="5">
        <f t="shared" si="9"/>
        <v>0</v>
      </c>
      <c r="H25" s="5">
        <f t="shared" si="9"/>
        <v>0</v>
      </c>
      <c r="I25" s="5">
        <f t="shared" si="9"/>
        <v>0</v>
      </c>
      <c r="J25" s="5">
        <f>J26*J27/10000</f>
        <v>10.5</v>
      </c>
    </row>
    <row r="26" spans="3:11" x14ac:dyDescent="0.25">
      <c r="D26" s="4" t="s">
        <v>22</v>
      </c>
      <c r="E26" t="s">
        <v>24</v>
      </c>
      <c r="F26" s="13"/>
      <c r="G26" s="16">
        <f>F26</f>
        <v>0</v>
      </c>
      <c r="H26" s="16">
        <f t="shared" ref="H26:I26" si="10">G26</f>
        <v>0</v>
      </c>
      <c r="I26" s="16">
        <f t="shared" si="10"/>
        <v>0</v>
      </c>
      <c r="J26" s="7">
        <v>300</v>
      </c>
    </row>
    <row r="27" spans="3:11" x14ac:dyDescent="0.25">
      <c r="D27" s="4" t="s">
        <v>23</v>
      </c>
      <c r="E27" t="s">
        <v>25</v>
      </c>
      <c r="F27" s="13"/>
      <c r="G27" s="13"/>
      <c r="H27" s="13"/>
      <c r="I27" s="13"/>
      <c r="J27" s="7">
        <v>350</v>
      </c>
    </row>
    <row r="28" spans="3:11" x14ac:dyDescent="0.25">
      <c r="D28" s="2" t="s">
        <v>26</v>
      </c>
      <c r="E28" t="s">
        <v>5</v>
      </c>
      <c r="F28" s="5">
        <f t="shared" ref="F28:I28" si="11">F29*SUM(F30:F31)</f>
        <v>0</v>
      </c>
      <c r="G28" s="5">
        <f t="shared" si="11"/>
        <v>0</v>
      </c>
      <c r="H28" s="5">
        <f t="shared" si="11"/>
        <v>0</v>
      </c>
      <c r="I28" s="5">
        <f t="shared" si="11"/>
        <v>0</v>
      </c>
      <c r="J28" s="5">
        <f>J29*SUM(J30:J31)</f>
        <v>10</v>
      </c>
    </row>
    <row r="29" spans="3:11" x14ac:dyDescent="0.25">
      <c r="D29" s="4" t="s">
        <v>27</v>
      </c>
      <c r="E29" t="s">
        <v>31</v>
      </c>
      <c r="F29" s="13"/>
      <c r="G29" s="13"/>
      <c r="H29" s="13"/>
      <c r="I29" s="13"/>
      <c r="J29" s="7">
        <v>10</v>
      </c>
    </row>
    <row r="30" spans="3:11" x14ac:dyDescent="0.25">
      <c r="D30" s="4" t="s">
        <v>28</v>
      </c>
      <c r="E30" t="s">
        <v>5</v>
      </c>
      <c r="F30" s="15"/>
      <c r="G30" s="15"/>
      <c r="H30" s="15"/>
      <c r="I30" s="15"/>
      <c r="J30" s="10">
        <v>0.5</v>
      </c>
    </row>
    <row r="31" spans="3:11" x14ac:dyDescent="0.25">
      <c r="D31" s="4" t="s">
        <v>30</v>
      </c>
      <c r="E31" t="s">
        <v>5</v>
      </c>
      <c r="F31" s="15"/>
      <c r="G31" s="15"/>
      <c r="H31" s="15"/>
      <c r="I31" s="15"/>
      <c r="J31" s="10">
        <v>0.5</v>
      </c>
      <c r="K31" t="s">
        <v>32</v>
      </c>
    </row>
    <row r="32" spans="3:11" x14ac:dyDescent="0.25">
      <c r="D32" s="12" t="s">
        <v>33</v>
      </c>
      <c r="E32" t="s">
        <v>5</v>
      </c>
      <c r="F32" s="15"/>
      <c r="G32" s="15"/>
      <c r="H32" s="15"/>
      <c r="I32" s="15"/>
      <c r="J32" s="10">
        <v>1</v>
      </c>
      <c r="K32" t="s">
        <v>34</v>
      </c>
    </row>
    <row r="34" spans="3:11" x14ac:dyDescent="0.25">
      <c r="C34" s="2" t="s">
        <v>2</v>
      </c>
      <c r="E34" t="s">
        <v>6</v>
      </c>
      <c r="F34" s="9">
        <f t="shared" ref="F34:I34" si="12">SUM(F35:F36)</f>
        <v>0</v>
      </c>
      <c r="G34" s="9">
        <f t="shared" si="12"/>
        <v>0</v>
      </c>
      <c r="H34" s="9">
        <f t="shared" si="12"/>
        <v>0</v>
      </c>
      <c r="I34" s="9">
        <f t="shared" si="12"/>
        <v>0</v>
      </c>
      <c r="J34" s="9">
        <f>SUM(J35:J36)</f>
        <v>102</v>
      </c>
    </row>
    <row r="35" spans="3:11" x14ac:dyDescent="0.25">
      <c r="D35" t="s">
        <v>35</v>
      </c>
      <c r="E35" t="s">
        <v>6</v>
      </c>
      <c r="F35" s="13"/>
      <c r="G35" s="13"/>
      <c r="H35" s="13"/>
      <c r="I35" s="13"/>
      <c r="J35" s="7">
        <v>100</v>
      </c>
    </row>
    <row r="36" spans="3:11" x14ac:dyDescent="0.25">
      <c r="D36" t="s">
        <v>36</v>
      </c>
      <c r="E36" t="s">
        <v>6</v>
      </c>
      <c r="F36" s="13"/>
      <c r="G36" s="13"/>
      <c r="H36" s="13"/>
      <c r="I36" s="13"/>
      <c r="J36" s="7">
        <v>2</v>
      </c>
      <c r="K36" t="s">
        <v>37</v>
      </c>
    </row>
    <row r="40" spans="3:11" x14ac:dyDescent="0.25">
      <c r="C40" s="2" t="s">
        <v>44</v>
      </c>
    </row>
    <row r="41" spans="3:11" x14ac:dyDescent="0.25">
      <c r="E41" s="2" t="s">
        <v>3</v>
      </c>
      <c r="F41" s="2" t="s">
        <v>7</v>
      </c>
      <c r="G41" s="2" t="s">
        <v>8</v>
      </c>
      <c r="H41" s="2" t="s">
        <v>9</v>
      </c>
      <c r="I41" s="2" t="s">
        <v>10</v>
      </c>
      <c r="J41" s="3" t="s">
        <v>12</v>
      </c>
      <c r="K41" s="2" t="s">
        <v>17</v>
      </c>
    </row>
    <row r="42" spans="3:11" x14ac:dyDescent="0.25">
      <c r="C42" s="2" t="s">
        <v>19</v>
      </c>
      <c r="E42" t="s">
        <v>4</v>
      </c>
      <c r="F42" s="5">
        <f>F52</f>
        <v>0</v>
      </c>
      <c r="G42" s="5">
        <f t="shared" ref="G42:J42" si="13">G52</f>
        <v>0</v>
      </c>
      <c r="H42" s="5">
        <f t="shared" si="13"/>
        <v>0</v>
      </c>
      <c r="I42" s="5">
        <f t="shared" si="13"/>
        <v>0</v>
      </c>
      <c r="J42" s="5">
        <f t="shared" si="13"/>
        <v>4.5</v>
      </c>
    </row>
    <row r="43" spans="3:11" x14ac:dyDescent="0.25">
      <c r="C43" s="2" t="s">
        <v>18</v>
      </c>
      <c r="E43" t="s">
        <v>5</v>
      </c>
      <c r="F43" s="9">
        <f t="shared" ref="F43" si="14">F57</f>
        <v>0</v>
      </c>
      <c r="G43" s="9">
        <f t="shared" ref="G43:J43" si="15">G57</f>
        <v>0</v>
      </c>
      <c r="H43" s="9">
        <f t="shared" si="15"/>
        <v>0</v>
      </c>
      <c r="I43" s="9">
        <f t="shared" si="15"/>
        <v>0</v>
      </c>
      <c r="J43" s="9">
        <f t="shared" si="15"/>
        <v>21.5</v>
      </c>
    </row>
    <row r="44" spans="3:11" x14ac:dyDescent="0.25">
      <c r="C44" s="2" t="s">
        <v>2</v>
      </c>
      <c r="E44" t="s">
        <v>6</v>
      </c>
      <c r="F44" s="9">
        <f t="shared" ref="F44" si="16">F67</f>
        <v>0</v>
      </c>
      <c r="G44" s="9">
        <f t="shared" ref="G44:J44" si="17">G67</f>
        <v>0</v>
      </c>
      <c r="H44" s="9">
        <f t="shared" si="17"/>
        <v>0</v>
      </c>
      <c r="I44" s="9">
        <f t="shared" si="17"/>
        <v>0</v>
      </c>
      <c r="J44" s="9">
        <f t="shared" si="17"/>
        <v>103</v>
      </c>
    </row>
    <row r="46" spans="3:11" x14ac:dyDescent="0.25">
      <c r="C46" s="2" t="s">
        <v>38</v>
      </c>
      <c r="E46" t="s">
        <v>39</v>
      </c>
      <c r="F46" s="6" t="e">
        <f t="shared" ref="F46:I46" si="18">ROUNDUP(F43/F42,0)</f>
        <v>#DIV/0!</v>
      </c>
      <c r="G46" s="6" t="e">
        <f t="shared" si="18"/>
        <v>#DIV/0!</v>
      </c>
      <c r="H46" s="6" t="e">
        <f t="shared" si="18"/>
        <v>#DIV/0!</v>
      </c>
      <c r="I46" s="6" t="e">
        <f t="shared" si="18"/>
        <v>#DIV/0!</v>
      </c>
      <c r="J46" s="6">
        <f>ROUNDUP(J43/J42,0)</f>
        <v>5</v>
      </c>
    </row>
    <row r="47" spans="3:11" x14ac:dyDescent="0.25">
      <c r="C47" s="2" t="s">
        <v>40</v>
      </c>
    </row>
    <row r="48" spans="3:11" x14ac:dyDescent="0.25">
      <c r="D48" t="s">
        <v>41</v>
      </c>
      <c r="E48" t="s">
        <v>39</v>
      </c>
      <c r="F48" s="5" t="e">
        <f>(F$44/LEFT($D48,LEN($D48)-3)/12+F$43)/F$42</f>
        <v>#DIV/0!</v>
      </c>
      <c r="G48" s="5" t="e">
        <f t="shared" ref="F48:J50" si="19">(G$11/LEFT($D48,LEN($D48)-3)/12+G$10)/G$9</f>
        <v>#DIV/0!</v>
      </c>
      <c r="H48" s="5" t="e">
        <f t="shared" si="19"/>
        <v>#DIV/0!</v>
      </c>
      <c r="I48" s="5" t="e">
        <f t="shared" si="19"/>
        <v>#DIV/0!</v>
      </c>
      <c r="J48" s="5">
        <f>(J$11/LEFT($D48,LEN($D48)-3)/12+J$10)/J$9</f>
        <v>6.666666666666667</v>
      </c>
    </row>
    <row r="49" spans="3:11" x14ac:dyDescent="0.25">
      <c r="D49" t="s">
        <v>42</v>
      </c>
      <c r="E49" t="s">
        <v>39</v>
      </c>
      <c r="F49" s="5" t="e">
        <f t="shared" si="19"/>
        <v>#DIV/0!</v>
      </c>
      <c r="G49" s="5" t="e">
        <f t="shared" si="19"/>
        <v>#DIV/0!</v>
      </c>
      <c r="H49" s="5" t="e">
        <f t="shared" si="19"/>
        <v>#DIV/0!</v>
      </c>
      <c r="I49" s="5" t="e">
        <f t="shared" si="19"/>
        <v>#DIV/0!</v>
      </c>
      <c r="J49" s="5">
        <f t="shared" si="19"/>
        <v>5.4074074074074074</v>
      </c>
    </row>
    <row r="50" spans="3:11" x14ac:dyDescent="0.25">
      <c r="D50" t="s">
        <v>43</v>
      </c>
      <c r="E50" t="s">
        <v>39</v>
      </c>
      <c r="F50" s="5" t="e">
        <f t="shared" si="19"/>
        <v>#DIV/0!</v>
      </c>
      <c r="G50" s="5" t="e">
        <f t="shared" si="19"/>
        <v>#DIV/0!</v>
      </c>
      <c r="H50" s="5" t="e">
        <f t="shared" si="19"/>
        <v>#DIV/0!</v>
      </c>
      <c r="I50" s="5" t="e">
        <f t="shared" si="19"/>
        <v>#DIV/0!</v>
      </c>
      <c r="J50" s="5">
        <f t="shared" si="19"/>
        <v>5.155555555555555</v>
      </c>
    </row>
    <row r="52" spans="3:11" x14ac:dyDescent="0.25">
      <c r="C52" s="2" t="s">
        <v>19</v>
      </c>
      <c r="E52" t="s">
        <v>4</v>
      </c>
      <c r="F52" s="5">
        <f t="shared" ref="F52" si="20">F53*F54+F55</f>
        <v>0</v>
      </c>
      <c r="G52" s="5">
        <f t="shared" ref="G52" si="21">G53*G54+G55</f>
        <v>0</v>
      </c>
      <c r="H52" s="5">
        <f t="shared" ref="H52" si="22">H53*H54+H55</f>
        <v>0</v>
      </c>
      <c r="I52" s="5">
        <f t="shared" ref="I52" si="23">I53*I54+I55</f>
        <v>0</v>
      </c>
      <c r="J52" s="5">
        <f>J53*J54+J55</f>
        <v>4.5</v>
      </c>
    </row>
    <row r="53" spans="3:11" x14ac:dyDescent="0.25">
      <c r="D53" s="11" t="s">
        <v>11</v>
      </c>
      <c r="E53" t="s">
        <v>4</v>
      </c>
      <c r="F53" s="13"/>
      <c r="G53" s="16">
        <f>F53</f>
        <v>0</v>
      </c>
      <c r="H53" s="16">
        <f t="shared" ref="H53:I53" si="24">G53</f>
        <v>0</v>
      </c>
      <c r="I53" s="16">
        <f t="shared" si="24"/>
        <v>0</v>
      </c>
      <c r="J53" s="7">
        <v>30</v>
      </c>
    </row>
    <row r="54" spans="3:11" x14ac:dyDescent="0.25">
      <c r="D54" s="11" t="s">
        <v>45</v>
      </c>
      <c r="E54" t="s">
        <v>14</v>
      </c>
      <c r="F54" s="14"/>
      <c r="G54" s="14"/>
      <c r="H54" s="14"/>
      <c r="I54" s="14"/>
      <c r="J54" s="8">
        <v>0.12</v>
      </c>
      <c r="K54" t="s">
        <v>29</v>
      </c>
    </row>
    <row r="55" spans="3:11" x14ac:dyDescent="0.25">
      <c r="D55" s="11" t="s">
        <v>16</v>
      </c>
      <c r="E55" t="s">
        <v>4</v>
      </c>
      <c r="F55" s="13"/>
      <c r="G55" s="13"/>
      <c r="H55" s="13"/>
      <c r="I55" s="13"/>
      <c r="J55" s="7">
        <v>0.9</v>
      </c>
      <c r="K55" t="s">
        <v>20</v>
      </c>
    </row>
    <row r="57" spans="3:11" x14ac:dyDescent="0.25">
      <c r="C57" s="2" t="s">
        <v>18</v>
      </c>
      <c r="E57" t="s">
        <v>5</v>
      </c>
      <c r="F57" s="9">
        <f t="shared" ref="F57" si="25">F58+F61+F65</f>
        <v>0</v>
      </c>
      <c r="G57" s="9">
        <f t="shared" ref="G57" si="26">G58+G61+G65</f>
        <v>0</v>
      </c>
      <c r="H57" s="9">
        <f t="shared" ref="H57" si="27">H58+H61+H65</f>
        <v>0</v>
      </c>
      <c r="I57" s="9">
        <f t="shared" ref="I57" si="28">I58+I61+I65</f>
        <v>0</v>
      </c>
      <c r="J57" s="9">
        <f>J58+J61+J65</f>
        <v>21.5</v>
      </c>
    </row>
    <row r="58" spans="3:11" x14ac:dyDescent="0.25">
      <c r="D58" s="12" t="s">
        <v>21</v>
      </c>
      <c r="E58" t="s">
        <v>5</v>
      </c>
      <c r="F58" s="5">
        <f t="shared" ref="F58" si="29">F59*F60/10000</f>
        <v>0</v>
      </c>
      <c r="G58" s="5">
        <f t="shared" ref="G58" si="30">G59*G60/10000</f>
        <v>0</v>
      </c>
      <c r="H58" s="5">
        <f t="shared" ref="H58" si="31">H59*H60/10000</f>
        <v>0</v>
      </c>
      <c r="I58" s="5">
        <f t="shared" ref="I58" si="32">I59*I60/10000</f>
        <v>0</v>
      </c>
      <c r="J58" s="5">
        <f>J59*J60/10000</f>
        <v>10.5</v>
      </c>
    </row>
    <row r="59" spans="3:11" x14ac:dyDescent="0.25">
      <c r="D59" s="4" t="s">
        <v>22</v>
      </c>
      <c r="E59" t="s">
        <v>24</v>
      </c>
      <c r="F59" s="17">
        <f>F26</f>
        <v>0</v>
      </c>
      <c r="G59" s="16">
        <f>F59</f>
        <v>0</v>
      </c>
      <c r="H59" s="16">
        <f t="shared" ref="H59:I59" si="33">G59</f>
        <v>0</v>
      </c>
      <c r="I59" s="16">
        <f t="shared" si="33"/>
        <v>0</v>
      </c>
      <c r="J59" s="7">
        <v>300</v>
      </c>
    </row>
    <row r="60" spans="3:11" x14ac:dyDescent="0.25">
      <c r="D60" s="4" t="s">
        <v>23</v>
      </c>
      <c r="E60" t="s">
        <v>25</v>
      </c>
      <c r="F60" s="17">
        <f>F27</f>
        <v>0</v>
      </c>
      <c r="G60" s="17">
        <f t="shared" ref="G60:I60" si="34">G27</f>
        <v>0</v>
      </c>
      <c r="H60" s="17">
        <f t="shared" si="34"/>
        <v>0</v>
      </c>
      <c r="I60" s="17">
        <f t="shared" si="34"/>
        <v>0</v>
      </c>
      <c r="J60" s="7">
        <v>350</v>
      </c>
    </row>
    <row r="61" spans="3:11" x14ac:dyDescent="0.25">
      <c r="D61" s="2" t="s">
        <v>26</v>
      </c>
      <c r="E61" t="s">
        <v>5</v>
      </c>
      <c r="F61" s="5">
        <f t="shared" ref="F61" si="35">F62*SUM(F63:F64)</f>
        <v>0</v>
      </c>
      <c r="G61" s="5">
        <f t="shared" ref="G61" si="36">G62*SUM(G63:G64)</f>
        <v>0</v>
      </c>
      <c r="H61" s="5">
        <f t="shared" ref="H61" si="37">H62*SUM(H63:H64)</f>
        <v>0</v>
      </c>
      <c r="I61" s="5">
        <f t="shared" ref="I61" si="38">I62*SUM(I63:I64)</f>
        <v>0</v>
      </c>
      <c r="J61" s="5">
        <f>J62*SUM(J63:J64)</f>
        <v>10</v>
      </c>
    </row>
    <row r="62" spans="3:11" x14ac:dyDescent="0.25">
      <c r="D62" s="4" t="s">
        <v>27</v>
      </c>
      <c r="E62" t="s">
        <v>31</v>
      </c>
      <c r="F62" s="13"/>
      <c r="G62" s="13"/>
      <c r="H62" s="13"/>
      <c r="I62" s="13"/>
      <c r="J62" s="7">
        <v>10</v>
      </c>
    </row>
    <row r="63" spans="3:11" x14ac:dyDescent="0.25">
      <c r="D63" s="4" t="s">
        <v>28</v>
      </c>
      <c r="E63" t="s">
        <v>5</v>
      </c>
      <c r="F63" s="15"/>
      <c r="G63" s="15"/>
      <c r="H63" s="15"/>
      <c r="I63" s="15"/>
      <c r="J63" s="10">
        <v>0.5</v>
      </c>
      <c r="K63" t="s">
        <v>46</v>
      </c>
    </row>
    <row r="64" spans="3:11" x14ac:dyDescent="0.25">
      <c r="D64" s="4" t="s">
        <v>30</v>
      </c>
      <c r="E64" t="s">
        <v>5</v>
      </c>
      <c r="F64" s="15"/>
      <c r="G64" s="15"/>
      <c r="H64" s="15"/>
      <c r="I64" s="15"/>
      <c r="J64" s="10">
        <v>0.5</v>
      </c>
      <c r="K64" t="s">
        <v>32</v>
      </c>
    </row>
    <row r="65" spans="3:11" x14ac:dyDescent="0.25">
      <c r="D65" s="12" t="s">
        <v>33</v>
      </c>
      <c r="E65" t="s">
        <v>5</v>
      </c>
      <c r="F65" s="17">
        <f>F32</f>
        <v>0</v>
      </c>
      <c r="G65" s="17">
        <f t="shared" ref="G65:I65" si="39">G32</f>
        <v>0</v>
      </c>
      <c r="H65" s="17">
        <f t="shared" si="39"/>
        <v>0</v>
      </c>
      <c r="I65" s="17">
        <f t="shared" si="39"/>
        <v>0</v>
      </c>
      <c r="J65" s="10">
        <v>1</v>
      </c>
      <c r="K65" t="s">
        <v>34</v>
      </c>
    </row>
    <row r="67" spans="3:11" x14ac:dyDescent="0.25">
      <c r="C67" s="2" t="s">
        <v>2</v>
      </c>
      <c r="E67" t="s">
        <v>6</v>
      </c>
      <c r="F67" s="9">
        <f t="shared" ref="F67:I67" si="40">SUM(F68:F70)</f>
        <v>0</v>
      </c>
      <c r="G67" s="9">
        <f t="shared" si="40"/>
        <v>0</v>
      </c>
      <c r="H67" s="9">
        <f t="shared" si="40"/>
        <v>0</v>
      </c>
      <c r="I67" s="9">
        <f t="shared" si="40"/>
        <v>0</v>
      </c>
      <c r="J67" s="9">
        <f>SUM(J68:J70)</f>
        <v>103</v>
      </c>
    </row>
    <row r="68" spans="3:11" x14ac:dyDescent="0.25">
      <c r="D68" t="s">
        <v>35</v>
      </c>
      <c r="E68" t="s">
        <v>6</v>
      </c>
      <c r="F68" s="13"/>
      <c r="G68" s="13"/>
      <c r="H68" s="13"/>
      <c r="I68" s="13"/>
      <c r="J68" s="7">
        <v>100</v>
      </c>
      <c r="K68" t="s">
        <v>47</v>
      </c>
    </row>
    <row r="69" spans="3:11" x14ac:dyDescent="0.25">
      <c r="D69" t="s">
        <v>36</v>
      </c>
      <c r="E69" t="s">
        <v>6</v>
      </c>
      <c r="F69" s="13"/>
      <c r="G69" s="13"/>
      <c r="H69" s="13"/>
      <c r="I69" s="13"/>
      <c r="J69" s="7">
        <v>2</v>
      </c>
      <c r="K69" t="s">
        <v>37</v>
      </c>
    </row>
    <row r="70" spans="3:11" x14ac:dyDescent="0.25">
      <c r="D70" t="s">
        <v>48</v>
      </c>
      <c r="E70" t="s">
        <v>6</v>
      </c>
      <c r="F70" s="13"/>
      <c r="G70" s="13"/>
      <c r="H70" s="13"/>
      <c r="I70" s="13"/>
      <c r="J70" s="7">
        <v>1</v>
      </c>
      <c r="K70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6F813ECEFEE4CAA26CD3019D5130F" ma:contentTypeVersion="3" ma:contentTypeDescription="Create a new document." ma:contentTypeScope="" ma:versionID="bcfaea400db98fd7e033b52323175192">
  <xsd:schema xmlns:xsd="http://www.w3.org/2001/XMLSchema" xmlns:xs="http://www.w3.org/2001/XMLSchema" xmlns:p="http://schemas.microsoft.com/office/2006/metadata/properties" xmlns:ns2="398bbcd0-57ee-493f-a76d-502b9f97402f" targetNamespace="http://schemas.microsoft.com/office/2006/metadata/properties" ma:root="true" ma:fieldsID="96b045ba5e5d81eed994dcda8a2865c3" ns2:_="">
    <xsd:import namespace="398bbcd0-57ee-493f-a76d-502b9f9740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bbcd0-57ee-493f-a76d-502b9f974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08480-D4FC-41F0-BE47-F3A7EB1738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5D89DEE-05BE-44ED-89D5-C5BE5906EB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AE76E9-771E-4902-B0F6-0EF92895B5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Joe</dc:creator>
  <cp:lastModifiedBy>Wang, Joe</cp:lastModifiedBy>
  <dcterms:created xsi:type="dcterms:W3CDTF">2015-06-05T18:17:20Z</dcterms:created>
  <dcterms:modified xsi:type="dcterms:W3CDTF">2026-05-07T14:23:29Z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0x0101001866F813ECEFEE4CAA26CD3019D5130F</vt:lpwstr>
  </property>
</Properties>
</file>